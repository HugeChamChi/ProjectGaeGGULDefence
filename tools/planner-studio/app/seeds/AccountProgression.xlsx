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_계정설정" sheetId="1" state="visible" r:id="rId1"/>
    <sheet name="계정레벨" sheetId="2" state="visible" r:id="rId2"/>
    <sheet name="전투경험치" sheetId="3" state="visible" r:id="rId3"/>
    <sheet name="획득량_예시" sheetId="4" state="visible" r:id="rId4"/>
  </sheets>
  <definedNames>
    <definedName name="_xlnm.Print_Titles" localSheetId="0">'안내_계정설정'!$1:$4</definedName>
    <definedName name="_xlnm.Print_Titles" localSheetId="1">'계정레벨'!$1:$4</definedName>
    <definedName name="_xlnm.Print_Titles" localSheetId="2">'전투경험치'!$1:$4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</font>
    <font>
      <name val="맑은 고딕"/>
      <color rgb="0027233B"/>
      <sz val="11"/>
    </font>
    <font>
      <name val="맑은 고딕"/>
      <b val="1"/>
      <color rgb="00FFFFFF"/>
      <sz val="17"/>
    </font>
  </fonts>
  <fills count="6">
    <fill>
      <patternFill/>
    </fill>
    <fill>
      <patternFill patternType="gray125"/>
    </fill>
    <fill>
      <patternFill patternType="solid">
        <fgColor rgb="004C3D72"/>
      </patternFill>
    </fill>
    <fill>
      <patternFill patternType="solid">
        <fgColor rgb="00FFF2CC"/>
      </patternFill>
    </fill>
    <fill>
      <patternFill patternType="solid">
        <fgColor rgb="00EAE7F1"/>
      </patternFill>
    </fill>
    <fill>
      <patternFill patternType="solid">
        <fgColor rgb="00E1EFF9"/>
      </patternFill>
    </fill>
  </fills>
  <borders count="2">
    <border>
      <left/>
      <right/>
      <top/>
      <bottom/>
      <diagonal/>
    </border>
    <border>
      <bottom style="hair">
        <color rgb="00DDD8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9" fontId="3" fillId="3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9" fontId="3" fillId="3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시험값입니다. 1~49레벨은 500 + (레벨 - 1) × 100으로 채웠으며 이 열의 수치를 개별 조정할 수 있습니다.</t>
      </text>
    </comment>
    <comment ref="C5" authorId="0" shapeId="0">
      <text>
        <t>앞 행부터 레벨이 연속되고 필요 경험치가 입력된 경우에만 계산합니다. Excel을 열면 재계산됩니다.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E5" authorId="0" shapeId="0">
      <text>
        <t>보스별 초기 최대 HP를 기준으로, 전투 중 실제로 도달한 최대 HP 감소 비율을 0~100%에 제한합니다. 회복 뒤 같은 구간을 다시 깎거나 오버킬해도 그 보스의 경험치가 추가로 늘어나지 않는 안입니다.</t>
      </text>
    </comment>
    <comment ref="H5" authorId="0" shapeId="0">
      <text>
        <t>보스 한 마리당 최대 100%만 인정합니다. 전투 전체 경험치 상한을 뜻하지 않습니다.</t>
      </text>
    </comment>
  </commentList>
</comments>
</file>

<file path=xl/tables/table1.xml><?xml version="1.0" encoding="utf-8"?>
<table xmlns="http://schemas.openxmlformats.org/spreadsheetml/2006/main" id="1" name="AccountSettings" displayName="AccountSettings" ref="A4:D14" headerRowCount="1">
  <autoFilter ref="A4:D14"/>
  <tableColumns count="4">
    <tableColumn id="1" name="항목"/>
    <tableColumn id="2" name="값"/>
    <tableColumn id="3" name="상태"/>
    <tableColumn id="4" name="설명"/>
  </tableColumns>
  <tableStyleInfo name="TableStyleMedium4" showRowStripes="0"/>
</table>
</file>

<file path=xl/tables/table2.xml><?xml version="1.0" encoding="utf-8"?>
<table xmlns="http://schemas.openxmlformats.org/spreadsheetml/2006/main" id="2" name="AccountLevelRows" displayName="AccountLevelRows" ref="A4:D54" headerRowCount="1">
  <autoFilter ref="A4:D54"/>
  <tableColumns count="4">
    <tableColumn id="1" name="레벨"/>
    <tableColumn id="2" name="다음 레벨 필요 경험치"/>
    <tableColumn id="3" name="레벨 도달 누적 경험치(자동)"/>
    <tableColumn id="4" name="비고"/>
  </tableColumns>
  <tableStyleInfo name="TableStyleMedium4" showRowStripes="0"/>
</table>
</file>

<file path=xl/tables/table3.xml><?xml version="1.0" encoding="utf-8"?>
<table xmlns="http://schemas.openxmlformats.org/spreadsheetml/2006/main" id="3" name="AccountBattleExpRows" displayName="AccountBattleExpRows" ref="A4:I17" headerRowCount="1">
  <autoFilter ref="A4:I17"/>
  <tableColumns count="9">
    <tableColumn id="1" name="규칙 ID"/>
    <tableColumn id="2" name="모드"/>
    <tableColumn id="3" name="종료 상태"/>
    <tableColumn id="4" name="지급 여부"/>
    <tableColumn id="5" name="산정 기준"/>
    <tableColumn id="6" name="기본 경험치"/>
    <tableColumn id="7" name="보스 100% 기준 경험치"/>
    <tableColumn id="8" name="보스별 인정 비율 상한"/>
    <tableColumn id="9" name="비고"/>
  </tableColumns>
  <tableStyleInfo name="TableStyleMedium4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outputs/workspaces/endless-runtime-b/outputs/balance-so-20260926/GameBalance.xlsx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39" customWidth="1" min="2" max="2"/>
    <col width="21" customWidth="1" min="3" max="3"/>
    <col width="86" customWidth="1" min="4" max="4"/>
  </cols>
  <sheetData>
    <row r="1" ht="34" customHeight="1"/>
    <row r="2" ht="46" customHeight="1"/>
    <row r="3">
      <c r="B4" s="3" t="inlineStr">
        <is>
          <t>값</t>
        </is>
      </c>
    </row>
    <row r="5" ht="52" customHeight="1">
      <c r="A5" s="4" t="inlineStr">
        <is>
          <t>최대 계정 레벨</t>
        </is>
      </c>
      <c r="B5" s="5" t="n">
        <v>50</v>
      </c>
    </row>
    <row r="6" ht="52" customHeight="1">
      <c r="A6" s="4" t="inlineStr">
        <is>
          <t>신규 계정 시작 레벨</t>
        </is>
      </c>
      <c r="B6" s="6" t="n">
        <v>1</v>
      </c>
    </row>
    <row r="7" ht="52" customHeight="1">
      <c r="A7" s="4" t="inlineStr">
        <is>
          <t>신규 계정 시작 경험치</t>
        </is>
      </c>
      <c r="B7" s="6" t="n">
        <v>0</v>
      </c>
    </row>
    <row r="8" ht="52" customHeight="1">
      <c r="A8" s="4" t="inlineStr">
        <is>
          <t>첫 레벨업 필요 경험치</t>
        </is>
      </c>
      <c r="B8" s="5" t="n">
        <v>500</v>
      </c>
    </row>
    <row r="9" ht="52" customHeight="1">
      <c r="A9" s="4" t="inlineStr">
        <is>
          <t>여러 레벨 상승 시 잔여 경험치</t>
        </is>
      </c>
      <c r="B9" s="5" t="inlineStr">
        <is>
          <t>이월</t>
        </is>
      </c>
    </row>
    <row r="10" ht="52" customHeight="1">
      <c r="A10" s="4" t="inlineStr">
        <is>
          <t>최대 레벨 경험치 처리</t>
        </is>
      </c>
      <c r="B10" s="5" t="inlineStr">
        <is>
          <t>추가 경험치 미적립</t>
        </is>
      </c>
    </row>
    <row r="11" ht="52" customHeight="1"/>
    <row r="12" ht="52" customHeight="1"/>
    <row r="13" ht="52" customHeight="1">
      <c r="A13" s="4" t="inlineStr">
        <is>
          <t>레벨당 필요 경험치 증가</t>
        </is>
      </c>
      <c r="B13" s="5" t="n">
        <v>100</v>
      </c>
    </row>
    <row r="14" ht="52" customHeight="1">
      <c r="A14" s="4" t="inlineStr">
        <is>
          <t>보스 기준 경험치</t>
        </is>
      </c>
      <c r="B14" s="5" t="n">
        <v>100</v>
      </c>
    </row>
    <row r="15"/>
    <row r="16"/>
    <row r="18"/>
  </sheetData>
  <mergeCells count="5">
    <mergeCell ref="A1:D1"/>
    <mergeCell ref="A17:D17"/>
    <mergeCell ref="A15:D15"/>
    <mergeCell ref="A19:D19"/>
    <mergeCell ref="A2:D2"/>
  </mergeCells>
  <dataValidations count="3">
    <dataValidation sqref="B5" showDropDown="0" showInputMessage="0" showErrorMessage="1" allowBlank="1" errorTitle="정수로 입력해 주세요" error="1 이상의 정수 또는 빈칸만 사용할 수 있습니다." type="whole" errorStyle="stop" operator="between">
      <formula1>1</formula1>
      <formula2>2147483647</formula2>
    </dataValidation>
    <dataValidation sqref="B9" showDropDown="0" showInputMessage="0" showErrorMessage="1" allowBlank="1" error="목록에서 선택하거나 미정이면 비워 주세요." type="list" errorStyle="stop">
      <formula1>"이월,이월하지 않음"</formula1>
    </dataValidation>
    <dataValidation sqref="B10" showDropDown="0" showInputMessage="0" showErrorMessage="1" allowBlank="1" error="목록에서 선택하거나 미정이면 비워 주세요." type="list" errorStyle="stop">
      <formula1>"추가 경험치 미적립,추가 경험치 적립"</formula1>
    </dataValidation>
  </dataValidations>
  <hyperlinks>
    <hyperlink xmlns:r="http://schemas.openxmlformats.org/officeDocument/2006/relationships" ref="B12" r:id="rId1"/>
  </hyperlinks>
  <printOptions horizontalCentered="1"/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D5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9" customWidth="1" min="2" max="2"/>
    <col width="34" customWidth="1" min="3" max="3"/>
    <col width="87" customWidth="1" min="4" max="4"/>
  </cols>
  <sheetData>
    <row r="1" ht="34" customHeight="1"/>
    <row r="2" ht="46" customHeight="1"/>
    <row r="3">
      <c r="B4" s="3" t="inlineStr">
        <is>
          <t>다음 레벨 필요 경험치</t>
        </is>
      </c>
      <c r="C4" s="3" t="inlineStr">
        <is>
          <t>레벨 도달 누적 경험치(자동)</t>
        </is>
      </c>
    </row>
    <row r="5" ht="32" customHeight="1">
      <c r="A5" s="5" t="n">
        <v>1</v>
      </c>
      <c r="B5" s="5">
        <f>IF(A5&gt;='안내_계정설정'!$B$5,"",'안내_계정설정'!$B$8+(A5-1)*'안내_계정설정'!$B$13)</f>
        <v>500</v>
      </c>
      <c r="C5" s="7">
        <f>IF(A5="","",IF(A5=1,0,""))</f>
        <v>0</v>
      </c>
    </row>
    <row r="6" ht="32" customHeight="1">
      <c r="A6" s="5" t="n">
        <v>2</v>
      </c>
      <c r="B6" s="5">
        <f>IF(A6&gt;='안내_계정설정'!$B$5,"",'안내_계정설정'!$B$8+(A6-1)*'안내_계정설정'!$B$13)</f>
        <v>600</v>
      </c>
      <c r="C6" s="7">
        <f>IF(A6="","",IF(AND(ISNUMBER(A5),A6=A5+1,ISNUMBER(B5),B5&gt;0,ISNUMBER(C5)),C5+B5,""))</f>
        <v>500</v>
      </c>
    </row>
    <row r="7" ht="32" customHeight="1">
      <c r="A7" s="5" t="n">
        <v>3</v>
      </c>
      <c r="B7" s="5">
        <f>IF(A7&gt;='안내_계정설정'!$B$5,"",'안내_계정설정'!$B$8+(A7-1)*'안내_계정설정'!$B$13)</f>
        <v>700</v>
      </c>
      <c r="C7" s="7">
        <f>IF(A7="","",IF(AND(ISNUMBER(A6),A7=A6+1,ISNUMBER(B6),B6&gt;0,ISNUMBER(C6)),C6+B6,""))</f>
        <v>1100</v>
      </c>
    </row>
    <row r="8" ht="32" customHeight="1">
      <c r="A8" s="5" t="n">
        <v>4</v>
      </c>
      <c r="B8" s="5">
        <f>IF(A8&gt;='안내_계정설정'!$B$5,"",'안내_계정설정'!$B$8+(A8-1)*'안내_계정설정'!$B$13)</f>
        <v>800</v>
      </c>
      <c r="C8" s="7">
        <f>IF(A8="","",IF(AND(ISNUMBER(A7),A8=A7+1,ISNUMBER(B7),B7&gt;0,ISNUMBER(C7)),C7+B7,""))</f>
        <v>1800</v>
      </c>
    </row>
    <row r="9" ht="32" customHeight="1">
      <c r="A9" s="5" t="n">
        <v>5</v>
      </c>
      <c r="B9" s="5">
        <f>IF(A9&gt;='안내_계정설정'!$B$5,"",'안내_계정설정'!$B$8+(A9-1)*'안내_계정설정'!$B$13)</f>
        <v>900</v>
      </c>
      <c r="C9" s="7">
        <f>IF(A9="","",IF(AND(ISNUMBER(A8),A9=A8+1,ISNUMBER(B8),B8&gt;0,ISNUMBER(C8)),C8+B8,""))</f>
        <v>2600</v>
      </c>
    </row>
    <row r="10" ht="32" customHeight="1">
      <c r="A10" s="5" t="n">
        <v>6</v>
      </c>
      <c r="B10" s="5">
        <f>IF(A10&gt;='안내_계정설정'!$B$5,"",'안내_계정설정'!$B$8+(A10-1)*'안내_계정설정'!$B$13)</f>
        <v>1000</v>
      </c>
      <c r="C10" s="7">
        <f>IF(A10="","",IF(AND(ISNUMBER(A9),A10=A9+1,ISNUMBER(B9),B9&gt;0,ISNUMBER(C9)),C9+B9,""))</f>
        <v>3500</v>
      </c>
    </row>
    <row r="11" ht="32" customHeight="1">
      <c r="A11" s="5" t="n">
        <v>7</v>
      </c>
      <c r="B11" s="5">
        <f>IF(A11&gt;='안내_계정설정'!$B$5,"",'안내_계정설정'!$B$8+(A11-1)*'안내_계정설정'!$B$13)</f>
        <v>1100</v>
      </c>
      <c r="C11" s="7">
        <f>IF(A11="","",IF(AND(ISNUMBER(A10),A11=A10+1,ISNUMBER(B10),B10&gt;0,ISNUMBER(C10)),C10+B10,""))</f>
        <v>4500</v>
      </c>
    </row>
    <row r="12" ht="32" customHeight="1">
      <c r="A12" s="5" t="n">
        <v>8</v>
      </c>
      <c r="B12" s="5">
        <f>IF(A12&gt;='안내_계정설정'!$B$5,"",'안내_계정설정'!$B$8+(A12-1)*'안내_계정설정'!$B$13)</f>
        <v>1200</v>
      </c>
      <c r="C12" s="7">
        <f>IF(A12="","",IF(AND(ISNUMBER(A11),A12=A11+1,ISNUMBER(B11),B11&gt;0,ISNUMBER(C11)),C11+B11,""))</f>
        <v>5600</v>
      </c>
    </row>
    <row r="13" ht="32" customHeight="1">
      <c r="A13" s="5" t="n">
        <v>9</v>
      </c>
      <c r="B13" s="5">
        <f>IF(A13&gt;='안내_계정설정'!$B$5,"",'안내_계정설정'!$B$8+(A13-1)*'안내_계정설정'!$B$13)</f>
        <v>1300</v>
      </c>
      <c r="C13" s="7">
        <f>IF(A13="","",IF(AND(ISNUMBER(A12),A13=A12+1,ISNUMBER(B12),B12&gt;0,ISNUMBER(C12)),C12+B12,""))</f>
        <v>6800</v>
      </c>
    </row>
    <row r="14" ht="32" customHeight="1">
      <c r="A14" s="5" t="n">
        <v>10</v>
      </c>
      <c r="B14" s="5">
        <f>IF(A14&gt;='안내_계정설정'!$B$5,"",'안내_계정설정'!$B$8+(A14-1)*'안내_계정설정'!$B$13)</f>
        <v>1400</v>
      </c>
      <c r="C14" s="7">
        <f>IF(A14="","",IF(AND(ISNUMBER(A13),A14=A13+1,ISNUMBER(B13),B13&gt;0,ISNUMBER(C13)),C13+B13,""))</f>
        <v>8100</v>
      </c>
    </row>
    <row r="15" ht="32" customHeight="1">
      <c r="A15" s="5" t="n">
        <v>11</v>
      </c>
      <c r="B15" s="5">
        <f>IF(A15&gt;='안내_계정설정'!$B$5,"",'안내_계정설정'!$B$8+(A15-1)*'안내_계정설정'!$B$13)</f>
        <v>1500</v>
      </c>
      <c r="C15" s="7">
        <f>IF(A15="","",IF(AND(ISNUMBER(A14),A15=A14+1,ISNUMBER(B14),B14&gt;0,ISNUMBER(C14)),C14+B14,""))</f>
        <v>9500</v>
      </c>
    </row>
    <row r="16" ht="32" customHeight="1">
      <c r="A16" s="5" t="n">
        <v>12</v>
      </c>
      <c r="B16" s="5">
        <f>IF(A16&gt;='안내_계정설정'!$B$5,"",'안내_계정설정'!$B$8+(A16-1)*'안내_계정설정'!$B$13)</f>
        <v>1600</v>
      </c>
      <c r="C16" s="7">
        <f>IF(A16="","",IF(AND(ISNUMBER(A15),A16=A15+1,ISNUMBER(B15),B15&gt;0,ISNUMBER(C15)),C15+B15,""))</f>
        <v>11000</v>
      </c>
    </row>
    <row r="17" ht="32" customHeight="1">
      <c r="A17" s="5" t="n">
        <v>13</v>
      </c>
      <c r="B17" s="5">
        <f>IF(A17&gt;='안내_계정설정'!$B$5,"",'안내_계정설정'!$B$8+(A17-1)*'안내_계정설정'!$B$13)</f>
        <v>1700</v>
      </c>
      <c r="C17" s="7">
        <f>IF(A17="","",IF(AND(ISNUMBER(A16),A17=A16+1,ISNUMBER(B16),B16&gt;0,ISNUMBER(C16)),C16+B16,""))</f>
        <v>12600</v>
      </c>
    </row>
    <row r="18" ht="32" customHeight="1">
      <c r="A18" s="5" t="n">
        <v>14</v>
      </c>
      <c r="B18" s="5">
        <f>IF(A18&gt;='안내_계정설정'!$B$5,"",'안내_계정설정'!$B$8+(A18-1)*'안내_계정설정'!$B$13)</f>
        <v>1800</v>
      </c>
      <c r="C18" s="7">
        <f>IF(A18="","",IF(AND(ISNUMBER(A17),A18=A17+1,ISNUMBER(B17),B17&gt;0,ISNUMBER(C17)),C17+B17,""))</f>
        <v>14300</v>
      </c>
    </row>
    <row r="19" ht="32" customHeight="1">
      <c r="A19" s="5" t="n">
        <v>15</v>
      </c>
      <c r="B19" s="5">
        <f>IF(A19&gt;='안내_계정설정'!$B$5,"",'안내_계정설정'!$B$8+(A19-1)*'안내_계정설정'!$B$13)</f>
        <v>1900</v>
      </c>
      <c r="C19" s="7">
        <f>IF(A19="","",IF(AND(ISNUMBER(A18),A19=A18+1,ISNUMBER(B18),B18&gt;0,ISNUMBER(C18)),C18+B18,""))</f>
        <v>16100</v>
      </c>
    </row>
    <row r="20" ht="32" customHeight="1">
      <c r="A20" s="5" t="n">
        <v>16</v>
      </c>
      <c r="B20" s="5">
        <f>IF(A20&gt;='안내_계정설정'!$B$5,"",'안내_계정설정'!$B$8+(A20-1)*'안내_계정설정'!$B$13)</f>
        <v>2000</v>
      </c>
      <c r="C20" s="7">
        <f>IF(A20="","",IF(AND(ISNUMBER(A19),A20=A19+1,ISNUMBER(B19),B19&gt;0,ISNUMBER(C19)),C19+B19,""))</f>
        <v>18000</v>
      </c>
    </row>
    <row r="21" ht="32" customHeight="1">
      <c r="A21" s="5" t="n">
        <v>17</v>
      </c>
      <c r="B21" s="5">
        <f>IF(A21&gt;='안내_계정설정'!$B$5,"",'안내_계정설정'!$B$8+(A21-1)*'안내_계정설정'!$B$13)</f>
        <v>2100</v>
      </c>
      <c r="C21" s="7">
        <f>IF(A21="","",IF(AND(ISNUMBER(A20),A21=A20+1,ISNUMBER(B20),B20&gt;0,ISNUMBER(C20)),C20+B20,""))</f>
        <v>20000</v>
      </c>
    </row>
    <row r="22" ht="32" customHeight="1">
      <c r="A22" s="5" t="n">
        <v>18</v>
      </c>
      <c r="B22" s="5">
        <f>IF(A22&gt;='안내_계정설정'!$B$5,"",'안내_계정설정'!$B$8+(A22-1)*'안내_계정설정'!$B$13)</f>
        <v>2200</v>
      </c>
      <c r="C22" s="7">
        <f>IF(A22="","",IF(AND(ISNUMBER(A21),A22=A21+1,ISNUMBER(B21),B21&gt;0,ISNUMBER(C21)),C21+B21,""))</f>
        <v>22100</v>
      </c>
    </row>
    <row r="23" ht="32" customHeight="1">
      <c r="A23" s="5" t="n">
        <v>19</v>
      </c>
      <c r="B23" s="5">
        <f>IF(A23&gt;='안내_계정설정'!$B$5,"",'안내_계정설정'!$B$8+(A23-1)*'안내_계정설정'!$B$13)</f>
        <v>2300</v>
      </c>
      <c r="C23" s="7">
        <f>IF(A23="","",IF(AND(ISNUMBER(A22),A23=A22+1,ISNUMBER(B22),B22&gt;0,ISNUMBER(C22)),C22+B22,""))</f>
        <v>24300</v>
      </c>
    </row>
    <row r="24" ht="32" customHeight="1">
      <c r="A24" s="5" t="n">
        <v>20</v>
      </c>
      <c r="B24" s="5">
        <f>IF(A24&gt;='안내_계정설정'!$B$5,"",'안내_계정설정'!$B$8+(A24-1)*'안내_계정설정'!$B$13)</f>
        <v>2400</v>
      </c>
      <c r="C24" s="7">
        <f>IF(A24="","",IF(AND(ISNUMBER(A23),A24=A23+1,ISNUMBER(B23),B23&gt;0,ISNUMBER(C23)),C23+B23,""))</f>
        <v>26600</v>
      </c>
    </row>
    <row r="25" ht="32" customHeight="1">
      <c r="A25" s="5" t="n">
        <v>21</v>
      </c>
      <c r="B25" s="5">
        <f>IF(A25&gt;='안내_계정설정'!$B$5,"",'안내_계정설정'!$B$8+(A25-1)*'안내_계정설정'!$B$13)</f>
        <v>2500</v>
      </c>
      <c r="C25" s="7">
        <f>IF(A25="","",IF(AND(ISNUMBER(A24),A25=A24+1,ISNUMBER(B24),B24&gt;0,ISNUMBER(C24)),C24+B24,""))</f>
        <v>29000</v>
      </c>
    </row>
    <row r="26" ht="32" customHeight="1">
      <c r="A26" s="5" t="n">
        <v>22</v>
      </c>
      <c r="B26" s="5">
        <f>IF(A26&gt;='안내_계정설정'!$B$5,"",'안내_계정설정'!$B$8+(A26-1)*'안내_계정설정'!$B$13)</f>
        <v>2600</v>
      </c>
      <c r="C26" s="7">
        <f>IF(A26="","",IF(AND(ISNUMBER(A25),A26=A25+1,ISNUMBER(B25),B25&gt;0,ISNUMBER(C25)),C25+B25,""))</f>
        <v>31500</v>
      </c>
    </row>
    <row r="27" ht="32" customHeight="1">
      <c r="A27" s="5" t="n">
        <v>23</v>
      </c>
      <c r="B27" s="5">
        <f>IF(A27&gt;='안내_계정설정'!$B$5,"",'안내_계정설정'!$B$8+(A27-1)*'안내_계정설정'!$B$13)</f>
        <v>2700</v>
      </c>
      <c r="C27" s="7">
        <f>IF(A27="","",IF(AND(ISNUMBER(A26),A27=A26+1,ISNUMBER(B26),B26&gt;0,ISNUMBER(C26)),C26+B26,""))</f>
        <v>34100</v>
      </c>
    </row>
    <row r="28" ht="32" customHeight="1">
      <c r="A28" s="5" t="n">
        <v>24</v>
      </c>
      <c r="B28" s="5">
        <f>IF(A28&gt;='안내_계정설정'!$B$5,"",'안내_계정설정'!$B$8+(A28-1)*'안내_계정설정'!$B$13)</f>
        <v>2800</v>
      </c>
      <c r="C28" s="7">
        <f>IF(A28="","",IF(AND(ISNUMBER(A27),A28=A27+1,ISNUMBER(B27),B27&gt;0,ISNUMBER(C27)),C27+B27,""))</f>
        <v>36800</v>
      </c>
    </row>
    <row r="29" ht="32" customHeight="1">
      <c r="A29" s="5" t="n">
        <v>25</v>
      </c>
      <c r="B29" s="5">
        <f>IF(A29&gt;='안내_계정설정'!$B$5,"",'안내_계정설정'!$B$8+(A29-1)*'안내_계정설정'!$B$13)</f>
        <v>2900</v>
      </c>
      <c r="C29" s="7">
        <f>IF(A29="","",IF(AND(ISNUMBER(A28),A29=A28+1,ISNUMBER(B28),B28&gt;0,ISNUMBER(C28)),C28+B28,""))</f>
        <v>39600</v>
      </c>
    </row>
    <row r="30" ht="32" customHeight="1">
      <c r="A30" s="5" t="n">
        <v>26</v>
      </c>
      <c r="B30" s="5">
        <f>IF(A30&gt;='안내_계정설정'!$B$5,"",'안내_계정설정'!$B$8+(A30-1)*'안내_계정설정'!$B$13)</f>
        <v>3000</v>
      </c>
      <c r="C30" s="7">
        <f>IF(A30="","",IF(AND(ISNUMBER(A29),A30=A29+1,ISNUMBER(B29),B29&gt;0,ISNUMBER(C29)),C29+B29,""))</f>
        <v>42500</v>
      </c>
    </row>
    <row r="31" ht="32" customHeight="1">
      <c r="A31" s="5" t="n">
        <v>27</v>
      </c>
      <c r="B31" s="5">
        <f>IF(A31&gt;='안내_계정설정'!$B$5,"",'안내_계정설정'!$B$8+(A31-1)*'안내_계정설정'!$B$13)</f>
        <v>3100</v>
      </c>
      <c r="C31" s="7">
        <f>IF(A31="","",IF(AND(ISNUMBER(A30),A31=A30+1,ISNUMBER(B30),B30&gt;0,ISNUMBER(C30)),C30+B30,""))</f>
        <v>45500</v>
      </c>
    </row>
    <row r="32" ht="32" customHeight="1">
      <c r="A32" s="5" t="n">
        <v>28</v>
      </c>
      <c r="B32" s="5">
        <f>IF(A32&gt;='안내_계정설정'!$B$5,"",'안내_계정설정'!$B$8+(A32-1)*'안내_계정설정'!$B$13)</f>
        <v>3200</v>
      </c>
      <c r="C32" s="7">
        <f>IF(A32="","",IF(AND(ISNUMBER(A31),A32=A31+1,ISNUMBER(B31),B31&gt;0,ISNUMBER(C31)),C31+B31,""))</f>
        <v>48600</v>
      </c>
    </row>
    <row r="33" ht="32" customHeight="1">
      <c r="A33" s="5" t="n">
        <v>29</v>
      </c>
      <c r="B33" s="5">
        <f>IF(A33&gt;='안내_계정설정'!$B$5,"",'안내_계정설정'!$B$8+(A33-1)*'안내_계정설정'!$B$13)</f>
        <v>3300</v>
      </c>
      <c r="C33" s="7">
        <f>IF(A33="","",IF(AND(ISNUMBER(A32),A33=A32+1,ISNUMBER(B32),B32&gt;0,ISNUMBER(C32)),C32+B32,""))</f>
        <v>51800</v>
      </c>
    </row>
    <row r="34" ht="32" customHeight="1">
      <c r="A34" s="5" t="n">
        <v>30</v>
      </c>
      <c r="B34" s="5">
        <f>IF(A34&gt;='안내_계정설정'!$B$5,"",'안내_계정설정'!$B$8+(A34-1)*'안내_계정설정'!$B$13)</f>
        <v>3400</v>
      </c>
      <c r="C34" s="7">
        <f>IF(A34="","",IF(AND(ISNUMBER(A33),A34=A33+1,ISNUMBER(B33),B33&gt;0,ISNUMBER(C33)),C33+B33,""))</f>
        <v>55100</v>
      </c>
    </row>
    <row r="35" ht="32" customHeight="1">
      <c r="A35" s="5" t="n">
        <v>31</v>
      </c>
      <c r="B35" s="5">
        <f>IF(A35&gt;='안내_계정설정'!$B$5,"",'안내_계정설정'!$B$8+(A35-1)*'안내_계정설정'!$B$13)</f>
        <v>3500</v>
      </c>
      <c r="C35" s="7">
        <f>IF(A35="","",IF(AND(ISNUMBER(A34),A35=A34+1,ISNUMBER(B34),B34&gt;0,ISNUMBER(C34)),C34+B34,""))</f>
        <v>58500</v>
      </c>
    </row>
    <row r="36" ht="32" customHeight="1">
      <c r="A36" s="5" t="n">
        <v>32</v>
      </c>
      <c r="B36" s="5">
        <f>IF(A36&gt;='안내_계정설정'!$B$5,"",'안내_계정설정'!$B$8+(A36-1)*'안내_계정설정'!$B$13)</f>
        <v>3600</v>
      </c>
      <c r="C36" s="7">
        <f>IF(A36="","",IF(AND(ISNUMBER(A35),A36=A35+1,ISNUMBER(B35),B35&gt;0,ISNUMBER(C35)),C35+B35,""))</f>
        <v>62000</v>
      </c>
    </row>
    <row r="37" ht="32" customHeight="1">
      <c r="A37" s="5" t="n">
        <v>33</v>
      </c>
      <c r="B37" s="5">
        <f>IF(A37&gt;='안내_계정설정'!$B$5,"",'안내_계정설정'!$B$8+(A37-1)*'안내_계정설정'!$B$13)</f>
        <v>3700</v>
      </c>
      <c r="C37" s="7">
        <f>IF(A37="","",IF(AND(ISNUMBER(A36),A37=A36+1,ISNUMBER(B36),B36&gt;0,ISNUMBER(C36)),C36+B36,""))</f>
        <v>65600</v>
      </c>
    </row>
    <row r="38" ht="32" customHeight="1">
      <c r="A38" s="5" t="n">
        <v>34</v>
      </c>
      <c r="B38" s="5">
        <f>IF(A38&gt;='안내_계정설정'!$B$5,"",'안내_계정설정'!$B$8+(A38-1)*'안내_계정설정'!$B$13)</f>
        <v>3800</v>
      </c>
      <c r="C38" s="7">
        <f>IF(A38="","",IF(AND(ISNUMBER(A37),A38=A37+1,ISNUMBER(B37),B37&gt;0,ISNUMBER(C37)),C37+B37,""))</f>
        <v>69300</v>
      </c>
    </row>
    <row r="39" ht="32" customHeight="1">
      <c r="A39" s="5" t="n">
        <v>35</v>
      </c>
      <c r="B39" s="5">
        <f>IF(A39&gt;='안내_계정설정'!$B$5,"",'안내_계정설정'!$B$8+(A39-1)*'안내_계정설정'!$B$13)</f>
        <v>3900</v>
      </c>
      <c r="C39" s="7">
        <f>IF(A39="","",IF(AND(ISNUMBER(A38),A39=A38+1,ISNUMBER(B38),B38&gt;0,ISNUMBER(C38)),C38+B38,""))</f>
        <v>73100</v>
      </c>
    </row>
    <row r="40" ht="32" customHeight="1">
      <c r="A40" s="5" t="n">
        <v>36</v>
      </c>
      <c r="B40" s="5">
        <f>IF(A40&gt;='안내_계정설정'!$B$5,"",'안내_계정설정'!$B$8+(A40-1)*'안내_계정설정'!$B$13)</f>
        <v>4000</v>
      </c>
      <c r="C40" s="7">
        <f>IF(A40="","",IF(AND(ISNUMBER(A39),A40=A39+1,ISNUMBER(B39),B39&gt;0,ISNUMBER(C39)),C39+B39,""))</f>
        <v>77000</v>
      </c>
    </row>
    <row r="41" ht="32" customHeight="1">
      <c r="A41" s="5" t="n">
        <v>37</v>
      </c>
      <c r="B41" s="5">
        <f>IF(A41&gt;='안내_계정설정'!$B$5,"",'안내_계정설정'!$B$8+(A41-1)*'안내_계정설정'!$B$13)</f>
        <v>4100</v>
      </c>
      <c r="C41" s="7">
        <f>IF(A41="","",IF(AND(ISNUMBER(A40),A41=A40+1,ISNUMBER(B40),B40&gt;0,ISNUMBER(C40)),C40+B40,""))</f>
        <v>81000</v>
      </c>
    </row>
    <row r="42" ht="32" customHeight="1">
      <c r="A42" s="5" t="n">
        <v>38</v>
      </c>
      <c r="B42" s="5">
        <f>IF(A42&gt;='안내_계정설정'!$B$5,"",'안내_계정설정'!$B$8+(A42-1)*'안내_계정설정'!$B$13)</f>
        <v>4200</v>
      </c>
      <c r="C42" s="7">
        <f>IF(A42="","",IF(AND(ISNUMBER(A41),A42=A41+1,ISNUMBER(B41),B41&gt;0,ISNUMBER(C41)),C41+B41,""))</f>
        <v>85100</v>
      </c>
    </row>
    <row r="43" ht="32" customHeight="1">
      <c r="A43" s="5" t="n">
        <v>39</v>
      </c>
      <c r="B43" s="5">
        <f>IF(A43&gt;='안내_계정설정'!$B$5,"",'안내_계정설정'!$B$8+(A43-1)*'안내_계정설정'!$B$13)</f>
        <v>4300</v>
      </c>
      <c r="C43" s="7">
        <f>IF(A43="","",IF(AND(ISNUMBER(A42),A43=A42+1,ISNUMBER(B42),B42&gt;0,ISNUMBER(C42)),C42+B42,""))</f>
        <v>89300</v>
      </c>
    </row>
    <row r="44" ht="32" customHeight="1">
      <c r="A44" s="5" t="n">
        <v>40</v>
      </c>
      <c r="B44" s="5">
        <f>IF(A44&gt;='안내_계정설정'!$B$5,"",'안내_계정설정'!$B$8+(A44-1)*'안내_계정설정'!$B$13)</f>
        <v>4400</v>
      </c>
      <c r="C44" s="7">
        <f>IF(A44="","",IF(AND(ISNUMBER(A43),A44=A43+1,ISNUMBER(B43),B43&gt;0,ISNUMBER(C43)),C43+B43,""))</f>
        <v>93600</v>
      </c>
    </row>
    <row r="45" ht="32" customHeight="1">
      <c r="A45" s="5" t="n">
        <v>41</v>
      </c>
      <c r="B45" s="5">
        <f>IF(A45&gt;='안내_계정설정'!$B$5,"",'안내_계정설정'!$B$8+(A45-1)*'안내_계정설정'!$B$13)</f>
        <v>4500</v>
      </c>
      <c r="C45" s="7">
        <f>IF(A45="","",IF(AND(ISNUMBER(A44),A45=A44+1,ISNUMBER(B44),B44&gt;0,ISNUMBER(C44)),C44+B44,""))</f>
        <v>98000</v>
      </c>
    </row>
    <row r="46" ht="32" customHeight="1">
      <c r="A46" s="5" t="n">
        <v>42</v>
      </c>
      <c r="B46" s="5">
        <f>IF(A46&gt;='안내_계정설정'!$B$5,"",'안내_계정설정'!$B$8+(A46-1)*'안내_계정설정'!$B$13)</f>
        <v>4600</v>
      </c>
      <c r="C46" s="7">
        <f>IF(A46="","",IF(AND(ISNUMBER(A45),A46=A45+1,ISNUMBER(B45),B45&gt;0,ISNUMBER(C45)),C45+B45,""))</f>
        <v>102500</v>
      </c>
    </row>
    <row r="47" ht="32" customHeight="1">
      <c r="A47" s="5" t="n">
        <v>43</v>
      </c>
      <c r="B47" s="5">
        <f>IF(A47&gt;='안내_계정설정'!$B$5,"",'안내_계정설정'!$B$8+(A47-1)*'안내_계정설정'!$B$13)</f>
        <v>4700</v>
      </c>
      <c r="C47" s="7">
        <f>IF(A47="","",IF(AND(ISNUMBER(A46),A47=A46+1,ISNUMBER(B46),B46&gt;0,ISNUMBER(C46)),C46+B46,""))</f>
        <v>107100</v>
      </c>
    </row>
    <row r="48" ht="32" customHeight="1">
      <c r="A48" s="5" t="n">
        <v>44</v>
      </c>
      <c r="B48" s="5">
        <f>IF(A48&gt;='안내_계정설정'!$B$5,"",'안내_계정설정'!$B$8+(A48-1)*'안내_계정설정'!$B$13)</f>
        <v>4800</v>
      </c>
      <c r="C48" s="7">
        <f>IF(A48="","",IF(AND(ISNUMBER(A47),A48=A47+1,ISNUMBER(B47),B47&gt;0,ISNUMBER(C47)),C47+B47,""))</f>
        <v>111800</v>
      </c>
    </row>
    <row r="49" ht="32" customHeight="1">
      <c r="A49" s="5" t="n">
        <v>45</v>
      </c>
      <c r="B49" s="5">
        <f>IF(A49&gt;='안내_계정설정'!$B$5,"",'안내_계정설정'!$B$8+(A49-1)*'안내_계정설정'!$B$13)</f>
        <v>4900</v>
      </c>
      <c r="C49" s="7">
        <f>IF(A49="","",IF(AND(ISNUMBER(A48),A49=A48+1,ISNUMBER(B48),B48&gt;0,ISNUMBER(C48)),C48+B48,""))</f>
        <v>116600</v>
      </c>
    </row>
    <row r="50" ht="32" customHeight="1">
      <c r="A50" s="5" t="n">
        <v>46</v>
      </c>
      <c r="B50" s="5">
        <f>IF(A50&gt;='안내_계정설정'!$B$5,"",'안내_계정설정'!$B$8+(A50-1)*'안내_계정설정'!$B$13)</f>
        <v>5000</v>
      </c>
      <c r="C50" s="7">
        <f>IF(A50="","",IF(AND(ISNUMBER(A49),A50=A49+1,ISNUMBER(B49),B49&gt;0,ISNUMBER(C49)),C49+B49,""))</f>
        <v>121500</v>
      </c>
    </row>
    <row r="51" ht="32" customHeight="1">
      <c r="A51" s="5" t="n">
        <v>47</v>
      </c>
      <c r="B51" s="5">
        <f>IF(A51&gt;='안내_계정설정'!$B$5,"",'안내_계정설정'!$B$8+(A51-1)*'안내_계정설정'!$B$13)</f>
        <v>5100</v>
      </c>
      <c r="C51" s="7">
        <f>IF(A51="","",IF(AND(ISNUMBER(A50),A51=A50+1,ISNUMBER(B50),B50&gt;0,ISNUMBER(C50)),C50+B50,""))</f>
        <v>126500</v>
      </c>
    </row>
    <row r="52" ht="32" customHeight="1">
      <c r="A52" s="5" t="n">
        <v>48</v>
      </c>
      <c r="B52" s="5">
        <f>IF(A52&gt;='안내_계정설정'!$B$5,"",'안내_계정설정'!$B$8+(A52-1)*'안내_계정설정'!$B$13)</f>
        <v>5200</v>
      </c>
      <c r="C52" s="7">
        <f>IF(A52="","",IF(AND(ISNUMBER(A51),A52=A51+1,ISNUMBER(B51),B51&gt;0,ISNUMBER(C51)),C51+B51,""))</f>
        <v>131600</v>
      </c>
    </row>
    <row r="53" ht="32" customHeight="1">
      <c r="A53" s="5" t="n">
        <v>49</v>
      </c>
      <c r="B53" s="5">
        <f>IF(A53&gt;='안내_계정설정'!$B$5,"",'안내_계정설정'!$B$8+(A53-1)*'안내_계정설정'!$B$13)</f>
        <v>5300</v>
      </c>
      <c r="C53" s="7">
        <f>IF(A53="","",IF(AND(ISNUMBER(A52),A53=A52+1,ISNUMBER(B52),B52&gt;0,ISNUMBER(C52)),C52+B52,""))</f>
        <v>136800</v>
      </c>
    </row>
    <row r="54" ht="32" customHeight="1">
      <c r="A54" s="5" t="n">
        <v>50</v>
      </c>
      <c r="B54" s="6">
        <f>IF(A54&gt;='안내_계정설정'!$B$5,"",'안내_계정설정'!$B$8+(A54-1)*'안내_계정설정'!$B$13)</f>
        <v/>
      </c>
      <c r="C54" s="7">
        <f>IF(A54="","",IF(AND(ISNUMBER(A53),A54=A53+1,ISNUMBER(B53),B53&gt;0,ISNUMBER(C53)),C53+B53,""))</f>
        <v>142100</v>
      </c>
    </row>
  </sheetData>
  <mergeCells count="2">
    <mergeCell ref="A1:D1"/>
    <mergeCell ref="A2:D2"/>
  </mergeCells>
  <dataValidations count="2">
    <dataValidation sqref="A5:A10000" showDropDown="0" showInputMessage="0" showErrorMessage="1" allowBlank="1" errorTitle="정수로 입력해 주세요" error="1 이상의 정수 또는 빈칸만 사용할 수 있습니다." type="whole" errorStyle="stop" operator="between">
      <formula1>1</formula1>
      <formula2>2147483647</formula2>
    </dataValidation>
    <dataValidation sqref="B5:B10000" showDropDown="0" showInputMessage="0" showErrorMessage="1" allowBlank="1" errorTitle="정수로 입력해 주세요" error="1 이상의 정수 또는 빈칸만 사용할 수 있습니다." type="whole" errorStyle="stop" operator="between">
      <formula1>1</formula1>
      <formula2>2147483647</formula2>
    </dataValidation>
  </dataValidations>
  <printOptions horizontalCentered="1"/>
  <pageMargins left="0.75" right="0.75" top="1" bottom="1" header="0.5" footer="0.5"/>
  <pageSetup orientation="landscape" paperSize="9" fitToHeight="0" fitToWidth="1"/>
  <legacyDrawing r:id="anysvml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I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7" customWidth="1" min="2" max="2"/>
    <col width="19" customWidth="1" min="3" max="3"/>
    <col width="15" customWidth="1" min="4" max="4"/>
    <col width="24" customWidth="1" min="5" max="5"/>
    <col width="18" customWidth="1" min="6" max="6"/>
    <col width="27" customWidth="1" min="7" max="7"/>
    <col width="27" customWidth="1" min="8" max="8"/>
    <col width="74" customWidth="1" min="9" max="9"/>
  </cols>
  <sheetData>
    <row r="1" ht="34" customHeight="1"/>
    <row r="2" ht="46" customHeight="1"/>
    <row r="3">
      <c r="B4" s="3" t="inlineStr">
        <is>
          <t>모드</t>
        </is>
      </c>
      <c r="C4" s="3" t="inlineStr">
        <is>
          <t>종료 상태</t>
        </is>
      </c>
      <c r="D4" s="3" t="inlineStr">
        <is>
          <t>지급 여부</t>
        </is>
      </c>
      <c r="E4" s="3" t="inlineStr">
        <is>
          <t>산정 기준</t>
        </is>
      </c>
      <c r="F4" s="3" t="inlineStr">
        <is>
          <t>기본 경험치</t>
        </is>
      </c>
      <c r="G4" s="3" t="inlineStr">
        <is>
          <t>보스 100% 기준 경험치</t>
        </is>
      </c>
      <c r="H4" s="3" t="inlineStr">
        <is>
          <t>보스별 인정 비율 상한</t>
        </is>
      </c>
    </row>
    <row r="5" ht="48" customHeight="1">
      <c r="A5" s="5" t="inlineStr">
        <is>
          <t>NORMAL_WIN</t>
        </is>
      </c>
      <c r="B5" s="5" t="inlineStr">
        <is>
          <t>NORMAL</t>
        </is>
      </c>
      <c r="C5" s="5" t="inlineStr">
        <is>
          <t>승리</t>
        </is>
      </c>
      <c r="D5" s="5" t="inlineStr">
        <is>
          <t>지급</t>
        </is>
      </c>
      <c r="E5" s="5" t="inlineStr">
        <is>
          <t>보스별 최대 HP 감소 비율</t>
        </is>
      </c>
      <c r="F5" s="5" t="n">
        <v>0</v>
      </c>
      <c r="G5" s="5">
        <f>'안내_계정설정'!$B$14</f>
        <v>100</v>
      </c>
      <c r="H5" s="8" t="n">
        <v>1</v>
      </c>
    </row>
    <row r="6" ht="48" customHeight="1">
      <c r="A6" s="5" t="inlineStr">
        <is>
          <t>NORMAL_LOSE</t>
        </is>
      </c>
      <c r="B6" s="5" t="inlineStr">
        <is>
          <t>NORMAL</t>
        </is>
      </c>
      <c r="C6" s="5" t="inlineStr">
        <is>
          <t>패배</t>
        </is>
      </c>
      <c r="D6" s="5" t="inlineStr">
        <is>
          <t>지급</t>
        </is>
      </c>
      <c r="E6" s="5" t="inlineStr">
        <is>
          <t>보스별 최대 HP 감소 비율</t>
        </is>
      </c>
      <c r="F6" s="5" t="n">
        <v>0</v>
      </c>
      <c r="G6" s="5">
        <f>'안내_계정설정'!$B$14</f>
        <v>100</v>
      </c>
      <c r="H6" s="8" t="n">
        <v>1</v>
      </c>
    </row>
    <row r="7" ht="48" customHeight="1">
      <c r="A7" s="5" t="inlineStr">
        <is>
          <t>NORMAL_QUIT</t>
        </is>
      </c>
      <c r="B7" s="5" t="inlineStr">
        <is>
          <t>NORMAL</t>
        </is>
      </c>
      <c r="C7" s="5" t="inlineStr">
        <is>
          <t>중도 종료</t>
        </is>
      </c>
      <c r="D7" s="5" t="inlineStr">
        <is>
          <t>미지급</t>
        </is>
      </c>
      <c r="E7" s="5" t="inlineStr">
        <is>
          <t>보스별 최대 HP 감소 비율</t>
        </is>
      </c>
      <c r="F7" s="5" t="n">
        <v>0</v>
      </c>
      <c r="G7" s="5">
        <f>'안내_계정설정'!$B$14</f>
        <v>100</v>
      </c>
      <c r="H7" s="8" t="n">
        <v>1</v>
      </c>
    </row>
    <row r="8" ht="48" customHeight="1">
      <c r="A8" s="5" t="inlineStr">
        <is>
          <t>TUTORIAL</t>
        </is>
      </c>
      <c r="B8" s="5" t="inlineStr">
        <is>
          <t>TUTORIAL</t>
        </is>
      </c>
      <c r="C8" s="5" t="inlineStr">
        <is>
          <t>튜토리얼 종료</t>
        </is>
      </c>
      <c r="D8" s="5" t="inlineStr">
        <is>
          <t>미지급</t>
        </is>
      </c>
      <c r="E8" s="5" t="inlineStr">
        <is>
          <t>보스별 최대 HP 감소 비율</t>
        </is>
      </c>
      <c r="F8" s="5" t="n">
        <v>0</v>
      </c>
      <c r="G8" s="5">
        <f>'안내_계정설정'!$B$14</f>
        <v>100</v>
      </c>
      <c r="H8" s="8" t="n">
        <v>1</v>
      </c>
    </row>
    <row r="9" ht="48" customHeight="1"/>
    <row r="22" ht="44" customHeight="1"/>
    <row r="24" ht="44" customHeight="1"/>
  </sheetData>
  <mergeCells count="5">
    <mergeCell ref="A2:I2"/>
    <mergeCell ref="A1:I1"/>
    <mergeCell ref="A22:I22"/>
    <mergeCell ref="A20:I20"/>
    <mergeCell ref="A24:I24"/>
  </mergeCells>
  <dataValidations count="5">
    <dataValidation sqref="D5:D10000" showDropDown="0" showInputMessage="0" showErrorMessage="1" allowBlank="1" error="목록에서 선택해 주세요." type="list" errorStyle="stop">
      <formula1>"지급,미지급"</formula1>
    </dataValidation>
    <dataValidation sqref="E5:E10000" showDropDown="0" showInputMessage="0" showErrorMessage="1" allowBlank="1" error="목록에서 선택해 주세요." type="list" errorStyle="stop">
      <formula1>"보스별 최대 HP 감소 비율"</formula1>
    </dataValidation>
    <dataValidation sqref="F5:F10000" showDropDown="0" showInputMessage="0" showErrorMessage="1" allowBlank="1" type="whole" errorStyle="stop" operator="between">
      <formula1>0</formula1>
      <formula2>2147483647</formula2>
    </dataValidation>
    <dataValidation sqref="G5:G10000" showDropDown="0" showInputMessage="0" showErrorMessage="1" allowBlank="1" type="whole" errorStyle="stop" operator="between">
      <formula1>0</formula1>
      <formula2>2147483647</formula2>
    </dataValidation>
    <dataValidation sqref="H5:H10000" showDropDown="0" showInputMessage="0" showErrorMessage="1" allowBlank="1" type="decimal" errorStyle="stop" operator="between">
      <formula1>0</formula1>
      <formula2>1</formula2>
    </dataValidation>
  </dataValidations>
  <printOptions horizontalCentered="1"/>
  <pageMargins left="0.75" right="0.75" top="1" bottom="1" header="0.5" footer="0.5"/>
  <pageSetup orientation="landscape" paperSize="9" fitToHeight="0" fitToWidth="1"/>
  <legacyDrawing r:id="anysvml"/>
  <tableParts count="1">
    <tablePart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4" customWidth="1" min="2" max="2"/>
    <col width="33" customWidth="1" min="3" max="3"/>
    <col width="29" customWidth="1" min="4" max="4"/>
  </cols>
  <sheetData>
    <row r="1" ht="34" customHeight="1">
      <c r="B4" s="3" t="inlineStr">
        <is>
          <t>완료한 보스 수</t>
        </is>
      </c>
      <c r="C4" s="3" t="inlineStr">
        <is>
          <t>마지막 보스 HP 감소 비율</t>
        </is>
      </c>
      <c r="D4" s="3" t="inlineStr">
        <is>
          <t>계정 경험치(자동)</t>
        </is>
      </c>
    </row>
    <row r="5" ht="38" customHeight="1">
      <c r="A5" s="11" t="inlineStr">
        <is>
          <t>절반만 깎고 패배</t>
        </is>
      </c>
      <c r="B5" s="11" t="n">
        <v>0</v>
      </c>
      <c r="C5" s="12" t="n">
        <v>0.5</v>
      </c>
      <c r="D5" s="13">
        <f>ROUNDDOWN((B5+MIN(1,MAX(0,C5)))*'안내_계정설정'!$B$14,0)</f>
        <v>50</v>
      </c>
    </row>
    <row r="6" ht="38" customHeight="1">
      <c r="A6" s="11" t="inlineStr">
        <is>
          <t>한 마리 처치</t>
        </is>
      </c>
      <c r="B6" s="11" t="n">
        <v>1</v>
      </c>
      <c r="C6" s="12" t="n">
        <v>0</v>
      </c>
      <c r="D6" s="13">
        <f>ROUNDDOWN((B6+MIN(1,MAX(0,C6)))*'안내_계정설정'!$B$14,0)</f>
        <v>100</v>
      </c>
    </row>
    <row r="7" ht="38" customHeight="1">
      <c r="A7" s="11" t="inlineStr">
        <is>
          <t>3마리 처치 + 다음 보스 절반</t>
        </is>
      </c>
      <c r="B7" s="11" t="n">
        <v>3</v>
      </c>
      <c r="C7" s="12" t="n">
        <v>0.5</v>
      </c>
      <c r="D7" s="13">
        <f>ROUNDDOWN((B7+MIN(1,MAX(0,C7)))*'안내_계정설정'!$B$14,0)</f>
        <v>350</v>
      </c>
    </row>
    <row r="8" ht="38" customHeight="1">
      <c r="A8" s="11" t="inlineStr">
        <is>
          <t>30마리 처치</t>
        </is>
      </c>
      <c r="B8" s="11" t="n">
        <v>30</v>
      </c>
      <c r="C8" s="12" t="n">
        <v>0</v>
      </c>
      <c r="D8" s="13">
        <f>ROUNDDOWN((B8+MIN(1,MAX(0,C8)))*'안내_계정설정'!$B$14,0)</f>
        <v>3000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2026-10-17T21:08:27Z</dcterms:created>
  <dcterms:modified xsi:type="dcterms:W3CDTF">2026-10-17T21:11:34Z</dcterms:modified>
</cp:coreProperties>
</file>